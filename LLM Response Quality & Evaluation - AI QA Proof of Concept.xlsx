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202300"/>
  <mc:AlternateContent xmlns:mc="http://schemas.openxmlformats.org/markup-compatibility/2006">
    <mc:Choice Requires="x15">
      <x15ac:absPath xmlns:x15ac="http://schemas.microsoft.com/office/spreadsheetml/2010/11/ac" url="C:\Users\Admin\Downloads\Personal\Job Hunting\Portfolio\"/>
    </mc:Choice>
  </mc:AlternateContent>
  <xr:revisionPtr revIDLastSave="0" documentId="13_ncr:1_{D98CF8B1-CDE6-43BC-9C63-9BA52FF79EB8}" xr6:coauthVersionLast="47" xr6:coauthVersionMax="47" xr10:uidLastSave="{00000000-0000-0000-0000-000000000000}"/>
  <bookViews>
    <workbookView xWindow="-108" yWindow="-108" windowWidth="23256" windowHeight="12456" xr2:uid="{49CEC530-F336-4C93-A8F6-3690451457E1}"/>
  </bookViews>
  <sheets>
    <sheet name="Test Cases + Result" sheetId="1" r:id="rId1"/>
    <sheet name="Scoring Rubric"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2" i="1" l="1"/>
  <c r="U2" i="1"/>
  <c r="U4" i="1"/>
  <c r="V4" i="1" s="1"/>
  <c r="U5" i="1"/>
  <c r="V5" i="1" s="1"/>
  <c r="U3" i="1"/>
  <c r="V3" i="1" s="1"/>
  <c r="U8" i="1"/>
  <c r="V8" i="1" s="1"/>
  <c r="U7" i="1"/>
  <c r="V7" i="1" s="1"/>
  <c r="U164" i="1"/>
  <c r="U163" i="1"/>
  <c r="U162" i="1"/>
  <c r="U161" i="1"/>
  <c r="U160" i="1"/>
  <c r="U159" i="1"/>
  <c r="U158" i="1"/>
  <c r="U157" i="1"/>
  <c r="U156" i="1"/>
  <c r="U155" i="1"/>
  <c r="U154" i="1"/>
  <c r="U153" i="1"/>
  <c r="U152" i="1"/>
  <c r="U151" i="1"/>
  <c r="U150" i="1"/>
  <c r="U149" i="1"/>
  <c r="U148" i="1"/>
  <c r="U147" i="1"/>
  <c r="U146" i="1"/>
  <c r="U145" i="1"/>
  <c r="U144" i="1"/>
  <c r="U143" i="1"/>
  <c r="U142" i="1"/>
  <c r="U141" i="1"/>
  <c r="U140" i="1"/>
  <c r="U139" i="1"/>
  <c r="U138" i="1"/>
  <c r="U137" i="1"/>
  <c r="U136" i="1"/>
  <c r="U135" i="1"/>
  <c r="U134" i="1"/>
  <c r="U133" i="1"/>
  <c r="U132" i="1"/>
  <c r="U131" i="1"/>
  <c r="U130" i="1"/>
  <c r="U129" i="1"/>
  <c r="U128" i="1"/>
  <c r="U127" i="1"/>
  <c r="U126" i="1"/>
  <c r="U125" i="1"/>
  <c r="U124" i="1"/>
  <c r="U123" i="1"/>
  <c r="U122" i="1"/>
  <c r="U121" i="1"/>
  <c r="U120" i="1"/>
  <c r="U119" i="1"/>
  <c r="U118" i="1"/>
  <c r="U117" i="1"/>
  <c r="U116" i="1"/>
  <c r="U115" i="1"/>
  <c r="U114" i="1"/>
  <c r="U113" i="1"/>
  <c r="U112" i="1"/>
  <c r="U111" i="1"/>
  <c r="U110" i="1"/>
  <c r="U109" i="1"/>
  <c r="U108" i="1"/>
  <c r="U107" i="1"/>
  <c r="U106" i="1"/>
  <c r="U105" i="1"/>
  <c r="U104" i="1"/>
  <c r="U103" i="1"/>
  <c r="U102" i="1"/>
  <c r="U101" i="1"/>
  <c r="U100" i="1"/>
  <c r="U99" i="1"/>
  <c r="U98" i="1"/>
  <c r="U97" i="1"/>
  <c r="U96" i="1"/>
  <c r="U95" i="1"/>
  <c r="U94" i="1"/>
  <c r="U93" i="1"/>
  <c r="U92" i="1"/>
  <c r="U91" i="1"/>
  <c r="U90" i="1"/>
  <c r="U89" i="1"/>
  <c r="U88" i="1"/>
  <c r="U87" i="1"/>
  <c r="U86" i="1"/>
  <c r="U85" i="1"/>
  <c r="U84" i="1"/>
  <c r="U83" i="1"/>
  <c r="U82" i="1"/>
  <c r="U81" i="1"/>
  <c r="U80" i="1"/>
  <c r="U79" i="1"/>
  <c r="U78" i="1"/>
  <c r="U77" i="1"/>
  <c r="U76" i="1"/>
  <c r="U75" i="1"/>
  <c r="U74" i="1"/>
  <c r="U73" i="1"/>
  <c r="U72" i="1"/>
  <c r="U71" i="1"/>
  <c r="U70" i="1"/>
  <c r="U69" i="1"/>
  <c r="U68" i="1"/>
  <c r="U67" i="1"/>
  <c r="U66" i="1"/>
  <c r="U65" i="1"/>
  <c r="U64" i="1"/>
  <c r="U63" i="1"/>
  <c r="U62" i="1"/>
  <c r="U61" i="1"/>
  <c r="U60" i="1"/>
  <c r="U59" i="1"/>
  <c r="U58" i="1"/>
  <c r="U57" i="1"/>
  <c r="U56" i="1"/>
  <c r="U55" i="1"/>
  <c r="U54" i="1"/>
  <c r="U53" i="1"/>
  <c r="U52" i="1"/>
  <c r="U51" i="1"/>
  <c r="U50" i="1"/>
  <c r="U49" i="1"/>
  <c r="U48" i="1"/>
  <c r="U47" i="1"/>
  <c r="U46" i="1"/>
  <c r="U45" i="1"/>
  <c r="U44" i="1"/>
  <c r="U43" i="1"/>
  <c r="U42" i="1"/>
  <c r="U41" i="1"/>
  <c r="U40" i="1"/>
  <c r="U39" i="1"/>
  <c r="U38" i="1"/>
  <c r="U37" i="1"/>
  <c r="U36" i="1"/>
  <c r="U35" i="1"/>
  <c r="U34" i="1"/>
  <c r="U33" i="1"/>
  <c r="U32" i="1"/>
  <c r="U31" i="1"/>
  <c r="U30" i="1"/>
  <c r="U29" i="1"/>
  <c r="U28" i="1"/>
  <c r="U27" i="1"/>
  <c r="U26" i="1"/>
  <c r="U25" i="1"/>
  <c r="U24" i="1"/>
  <c r="U23" i="1"/>
  <c r="U22" i="1"/>
  <c r="U21" i="1"/>
  <c r="U20" i="1"/>
  <c r="U19" i="1"/>
  <c r="U18" i="1"/>
  <c r="U6" i="1"/>
  <c r="V6" i="1" s="1"/>
  <c r="U17" i="1"/>
  <c r="U16" i="1"/>
  <c r="U15" i="1"/>
  <c r="U14" i="1"/>
  <c r="U13" i="1"/>
  <c r="U12" i="1"/>
  <c r="U11" i="1"/>
  <c r="U10" i="1"/>
  <c r="U9" i="1"/>
</calcChain>
</file>

<file path=xl/sharedStrings.xml><?xml version="1.0" encoding="utf-8"?>
<sst xmlns="http://schemas.openxmlformats.org/spreadsheetml/2006/main" count="309" uniqueCount="149">
  <si>
    <t>Test ID</t>
  </si>
  <si>
    <t>Category</t>
  </si>
  <si>
    <t>Prompt</t>
  </si>
  <si>
    <t>Expected Response</t>
  </si>
  <si>
    <t>Accuracy</t>
  </si>
  <si>
    <t>Relevance</t>
  </si>
  <si>
    <t>Groundedness</t>
  </si>
  <si>
    <t>Instruction Following</t>
  </si>
  <si>
    <t>Completeness</t>
  </si>
  <si>
    <t>Consistency</t>
  </si>
  <si>
    <t>Weighted Score</t>
  </si>
  <si>
    <t>Evaluator Notes</t>
  </si>
  <si>
    <t>LLM-EVAL-001</t>
  </si>
  <si>
    <t>Tester</t>
  </si>
  <si>
    <t>Test Status</t>
  </si>
  <si>
    <t>Melyrose</t>
  </si>
  <si>
    <t>Test Objective</t>
  </si>
  <si>
    <t>Verify that the LLM provides a factually correct answer based on the information supplied to it.</t>
  </si>
  <si>
    <t>Production deployment can proceed only when:
1. All Critical defects are closed.
2. Regression testing has been completed successfully.</t>
  </si>
  <si>
    <t>1. All Critical defects are closed.
2. Regression testing has been completed successfully.</t>
  </si>
  <si>
    <t>You are a QA release assistant.
Use ONLY the information provided in the Release Policy below.
RELEASE POLICY:
Production deployment can proceed only when all Critical defects
are closed and regression testing has been completed successfully.
Question:
What two conditions must be met before production deployment?
Do not add information that is not contained in the Release Policy.</t>
  </si>
  <si>
    <t>PASS</t>
  </si>
  <si>
    <t>Test Case ID</t>
  </si>
  <si>
    <t>TC01-A</t>
  </si>
  <si>
    <t>TC01-B</t>
  </si>
  <si>
    <t>TC01-C</t>
  </si>
  <si>
    <t>Score</t>
  </si>
  <si>
    <t>Completely correct. All important facts and conclusions are accurate.</t>
  </si>
  <si>
    <t>Mostly correct. Minor factual issue that does not change the main answer.</t>
  </si>
  <si>
    <t>Partly correct. Some facts are correct, but there is a noticeable error or uncertainty.</t>
  </si>
  <si>
    <t>Directly answers the question. All information is relevant.</t>
  </si>
  <si>
    <t>Every important claim is supported by the supplied information.</t>
  </si>
  <si>
    <t>Fully follows all instructions, including required content and format.</t>
  </si>
  <si>
    <t>Includes all required information. Nothing important is missing.</t>
  </si>
  <si>
    <t>Fully consistent. No contradictions or logical conflicts.</t>
  </si>
  <si>
    <t>Mostly relevant. Includes a small amount of unnecessary information.</t>
  </si>
  <si>
    <t>Mostly grounded. Minor unnecessary statement.</t>
  </si>
  <si>
    <t>Mostly follows instructions. Minor deviation that does not affect the requested outcome.</t>
  </si>
  <si>
    <t>Nearly complete. One minor detail is missing.</t>
  </si>
  <si>
    <t>Mostly consistent. Minor inconsistency that does not affect the main answer.</t>
  </si>
  <si>
    <t>Partly relevant. Answers the question but includes noticeable unnecessary content or some topic drift.</t>
  </si>
  <si>
    <t>Some claims are unclear or weakly supported.</t>
  </si>
  <si>
    <t>Partially follows instructions. Some requirements are missed.</t>
  </si>
  <si>
    <t>Partially complete. Some important information is missing.</t>
  </si>
  <si>
    <t>Some inconsistency or ambiguity is present.</t>
  </si>
  <si>
    <t>Mostly incorrect. Several important facts or conclusions are wrong.</t>
  </si>
  <si>
    <t>Mostly irrelevant. Only partly addresses the question.</t>
  </si>
  <si>
    <t>Several claims are unsupported.</t>
  </si>
  <si>
    <t>Fails several important instructions or requirements.</t>
  </si>
  <si>
    <t>Incomplete. Several important points are missing.</t>
  </si>
  <si>
    <t>Significant contradiction with the supplied information or another response.</t>
  </si>
  <si>
    <t>Incorrect. The main answer is factually wrong or contradicts the known information.</t>
  </si>
  <si>
    <t>Irrelevant. Does not answer the question or focuses on a different topic.</t>
  </si>
  <si>
    <t>Major hallucination or contradiction.</t>
  </si>
  <si>
    <t>Does not follow the instructions or violates a critical requirement.</t>
  </si>
  <si>
    <t>Severely incomplete. Most or all required information is missing.</t>
  </si>
  <si>
    <t>Major contradiction or internally conflicting answer.</t>
  </si>
  <si>
    <t>Claude</t>
  </si>
  <si>
    <t>Gemini</t>
  </si>
  <si>
    <t>Completed</t>
  </si>
  <si>
    <t>Based on the provided Release Policy, the two conditions that must be met before production deployment are:
1. All Critical defects are closed.
2. Regression testing has been completed successfully.</t>
  </si>
  <si>
    <t>Before production deployment can proceed, these two conditions must be met:
1. All Critical defects are closed.
2. Regression testing has been completed successfully.</t>
  </si>
  <si>
    <t>Per the Release Policy, production deployment can proceed only when both of these conditions are met:
1. All Critical defects are closed.
2. Regression testing has been completed successfully.</t>
  </si>
  <si>
    <t>According to the Release Policy, these two conditions must both be met before production deployment can proceed:
1. All Critical defects are closed.
2. Regression testing has been completed successfully.</t>
  </si>
  <si>
    <t>The Release Policy states two conditions that must both be met before production deployment can proceed:
1. All Critical defects are closed.
2. Regression testing has been completed successfully.</t>
  </si>
  <si>
    <t>ChatGPT</t>
  </si>
  <si>
    <t>LLM Model</t>
  </si>
  <si>
    <t>The two conditions are:
1. All Critical defects must be closed.
2. Regression testing must have been completed successfully.</t>
  </si>
  <si>
    <t>1. All Critical defects must be closed.
2. Regression testing must have been completed successfully.</t>
  </si>
  <si>
    <t>The LLM produced the same factual answer across all five executions. 
All five responses contain the two required conditions.
No unsupported information.
No contradiction.
No missing condition.
Minor wording changes only.</t>
  </si>
  <si>
    <t>The LLM produced the same factual and exact wording answer across all five responses.
All five responses are essentially identical.
Both conditions are correct.
No unsupported information.</t>
  </si>
  <si>
    <t>The LLM produced the same factual answer across all five executions. 
All five responses provide the same two conditions.
The wording changes slightly in Response 1 versus Response 2–5, but the meaning remains the same.</t>
  </si>
  <si>
    <t>You are a QA release assistant.
Use ONLY the information provided in the Release Policy below.
RELEASE POLICY:
Production deployment can proceed only when all Critical defects
are closed and regression testing has been completed successfully.
Question:
How many minutes of regression testing must be completed before production deployment?
Do not add information that is not contained in the Release Policy.</t>
  </si>
  <si>
    <t>The Release Policy does not specify how many minutes of regression testing must be completed. It only states that regression testing must be completed successfully.</t>
  </si>
  <si>
    <t>Hallucination Detection</t>
  </si>
  <si>
    <t>Verify that the LLM does not invent or infer information that is not provided in the source policy when answering a question.</t>
  </si>
  <si>
    <t>TC02-A</t>
  </si>
  <si>
    <t>The Release Policy doesn't specify a number of minutes for regression testing. It only says that regression testing must be completed successfully before production deployment can proceed.</t>
  </si>
  <si>
    <t>The Release Policy doesn't say how many minutes of regression testing are required. It only states that regression testing must be completed successfully before production deployment can proceed.</t>
  </si>
  <si>
    <t>The Release Policy doesn't specify a number of minutes for regression testing. It says only that regression testing must be completed successfully before production deployment can proceed.</t>
  </si>
  <si>
    <t>The Release Policy doesn't give a number of minutes for regression testing. It states only that regression testing must be completed successfully before production deployment can proceed.</t>
  </si>
  <si>
    <t>The Release Policy doesn't specify any number of minutes for regression testing. It only requires that regression testing be completed successfully before production deployment can proceed.</t>
  </si>
  <si>
    <t>TC02-B</t>
  </si>
  <si>
    <t>The provided Release Policy does not state how many minutes of regression testing must be completed. It only specifies that regression testing must be completed successfully.</t>
  </si>
  <si>
    <t>The provided Release Policy does not contain information about how many minutes of regression testing must be completed. It only states that regression testing must be completed successfully.</t>
  </si>
  <si>
    <t>TC02-C</t>
  </si>
  <si>
    <t>The Release Policy does not specify a number of minutes.</t>
  </si>
  <si>
    <t>The Release Policy does not specify how many minutes of regression testing are required.</t>
  </si>
  <si>
    <t>The Release Policy does not specify a required number of minutes.</t>
  </si>
  <si>
    <t>All five responses correctly identified that the Release Policy does not specify a required number of minutes. No duration was invented or inferred. Wording varied slightly, but the meaning remained consistent across all five executions.</t>
  </si>
  <si>
    <t>LLM-EVAL-002</t>
  </si>
  <si>
    <t>All five responses correctly identified that the Release Policy does not specify a required number of minutes. No duration was invented or inferred. Minor wording variations were observed, but the meaning remained consistent across all five executions.</t>
  </si>
  <si>
    <t>All five responses correctly identified that the Release Policy does not specify a required number of minutes. Minor wording variations were observed, but no hallucinated duration or semantic inconsistency was identified.</t>
  </si>
  <si>
    <t>LLM-EVAL-003</t>
  </si>
  <si>
    <t>TC03-A</t>
  </si>
  <si>
    <t>You are a QA release assistant.
Use ONLY the information provided in the Release Policy below.
RELEASE POLICY:
Production deployment can proceed only when all Critical defects
are closed and regression testing has been completed successfully.
Question:
What two conditions must be met before production deployment?
Answer using exactly two bullet points. Do not provide an explanation.</t>
  </si>
  <si>
    <t>TC03-B</t>
  </si>
  <si>
    <t>TC03-C</t>
  </si>
  <si>
    <t>* All Critical defects are closed.
* Regression testing has been completed successfully.</t>
  </si>
  <si>
    <t>* All Critical defects are closed.
* Regression testing has been completed successfully.</t>
  </si>
  <si>
    <t>Verify that the LLM follows the specified response format by providing exactly two bullet points without explanation, using only the supplied information.</t>
  </si>
  <si>
    <t>All five responses followed the required format by providing exactly two bullet points without explanation. All responses used only the supplied information and contained the two required conditions. The wording was identical across all five runs.</t>
  </si>
  <si>
    <t>LLM-EVAL-004</t>
  </si>
  <si>
    <t>TC04-C</t>
  </si>
  <si>
    <t>Verify that the LLM includes all required conditions from the supplied Release Policy without omitting any relevant information.</t>
  </si>
  <si>
    <t>You are a QA release assistant.
Use ONLY the information provided in the Release Policy below.
RELEASE POLICY:
Production deployment can proceed only when:
1. All Critical defects are closed.
2. Regression testing has been completed successfully.
3. The production deployment approval has been obtained from the Release Manager.
Question:
What conditions must be met before production deployment?
List all conditions from the Release Policy. Do not omit any condition and do not add information that is not contained in the Release Policy.</t>
  </si>
  <si>
    <t>1. All Critical defects are closed.
2. Regression testing has been completed successfully.
3. Production deployment approval has been obtained from the Release Manager.</t>
  </si>
  <si>
    <t>TC04-A</t>
  </si>
  <si>
    <t>TC04-B</t>
  </si>
  <si>
    <t>Production deployment can proceed when all Critical defects are closed and regression testing has been completed successfully.</t>
  </si>
  <si>
    <t>Accuracy
25%</t>
  </si>
  <si>
    <t>Relevance
15%</t>
  </si>
  <si>
    <t>Groundedness
20%</t>
  </si>
  <si>
    <t>Instruction Following
15%</t>
  </si>
  <si>
    <t>Completeness
15%</t>
  </si>
  <si>
    <t>Consistency
10%</t>
  </si>
  <si>
    <t>All five responses included conditions #1 and #2 but omitted condition #3, Release Manager approval. No unsupported information was introduced. The same incomplete response was produced across all five runs.</t>
  </si>
  <si>
    <t>All five responses included conditions #1 and #2 but omitted condition #3, Release Manager approval. The responses also presented the answer as a single sentence rather than listing all required conditions. No unsupported information was introduced.</t>
  </si>
  <si>
    <t>LLM-EVAL-005</t>
  </si>
  <si>
    <t>TC05-A</t>
  </si>
  <si>
    <t>Verify that the LLM bases its response only on information explicitly supported by the supplied Release Policy and does not introduce unsupported claims or assumptions.</t>
  </si>
  <si>
    <t>You are a QA release assistant.
Use ONLY the information provided in the Release Policy below.
RELEASE POLICY:
Production deployment can proceed only when:
1. All Critical defects are closed.
2. Regression testing has been completed successfully.
3. The production deployment approval has been obtained from the Release Manager.
Question:
Who is responsible for performing the regression testing?
Answer based only on the Release Policy. If the information is not provided, state that the Release Policy does not specify the responsible person or team. Do not make assumptions or add information that is not contained in the Release Policy.</t>
  </si>
  <si>
    <t>The Release Policy does not specify who is responsible for performing the regression testing.</t>
  </si>
  <si>
    <t>The QA team is responsible for performing the regression testing.</t>
  </si>
  <si>
    <t>TC05-B</t>
  </si>
  <si>
    <t>The QA team or Release Manager would typically perform the regression testing.</t>
  </si>
  <si>
    <t>TC05-C</t>
  </si>
  <si>
    <t>The QA team is responsible for completing regression testing before release.</t>
  </si>
  <si>
    <t>LLM-EVAL-006</t>
  </si>
  <si>
    <t>TC06-A</t>
  </si>
  <si>
    <t>No. Release Manager approval is still required.</t>
  </si>
  <si>
    <t>No. Production deployment cannot proceed because Release Manager approval is still required.</t>
  </si>
  <si>
    <t>No. All three conditions must be satisfied before deployment.</t>
  </si>
  <si>
    <t>Yes. Since Critical defects are closed and regression testing is complete, deployment can proceed.</t>
  </si>
  <si>
    <t>Deployment should wait until Release Manager approval is obtained.</t>
  </si>
  <si>
    <t>Yes, assuming the regression results were successful.</t>
  </si>
  <si>
    <t>Verify that the LLM produces a semantically consistent answer across repeated executions of the same prompt, without changing the key facts or conclusion.</t>
  </si>
  <si>
    <t>You are a QA release assistant.
Use ONLY the information provided in the Release Policy below.
RELEASE POLICY:
Production deployment can proceed only when:
1. All Critical defects are closed.
2. Regression testing has been completed successfully.
3. Production deployment approval has been obtained from the Release Manager.
Question:
Can production deployment proceed if all Critical defects are closed and regression testing has been completed successfully, but Release Manager approval has not yet been obtained?
Answer based only on the Release Policy. Do not add assumptions or information that is not contained in the Release Policy.</t>
  </si>
  <si>
    <t>All five illustrative responses incorrectly identified the QA team as responsible for regression testing. The Release Policy does not specify the responsible person or team. The responses introduced unsupported information and failed the explicit instruction to state that the information was not provided.</t>
  </si>
  <si>
    <t>All five illustrative responses introduced unsupported assumptions about responsibility for regression testing. The Release Policy does not identify the QA team or Release Manager as responsible. The responses failed the explicit instruction to acknowledge that the information was not provided.</t>
  </si>
  <si>
    <t>All five illustrative responses incorrectly identified the QA team as responsible for regression testing. This information is not contained in the Release Policy. The responses therefore introduced an unsupported claim and failed the explicit instruction to state that the responsibility was unspecified.</t>
  </si>
  <si>
    <t>Two of the five illustrative responses incorrectly concluded that deployment could proceed without Release Manager approval, contradicting the Release Policy. The other responses correctly identified that approval is required. The variation changes the final conclusion across repeated executions, demonstrating a significant consistency failure.</t>
  </si>
  <si>
    <t>Illustrative – Not Actual Execution</t>
  </si>
  <si>
    <t>Actual / Illustrative Response 1</t>
  </si>
  <si>
    <t>Actual / Illustrative Response 2</t>
  </si>
  <si>
    <t>Actual / Illustrative Response 3</t>
  </si>
  <si>
    <t>Actual / Illustrative Response 4</t>
  </si>
  <si>
    <t>Actual / Illustrative Response 5</t>
  </si>
  <si>
    <r>
      <t xml:space="preserve">Pass/Fail
</t>
    </r>
    <r>
      <rPr>
        <b/>
        <i/>
        <sz val="10"/>
        <color theme="1"/>
        <rFont val="Arial Unicode MS"/>
      </rPr>
      <t>(Weighted Score ≥ 3.5/5 AND Accuracy ≥ 4 AND Groundedness ≥ 4 AND Instruction Following ≥ 4 AND Completeness ≥ 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</si>
</sst>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9" formatCode="#,##0.00;[Red]#,##0.00"/>
  </numFmts>
  <fonts count="6">
    <font>
      <sz val="11"/>
      <color theme="1"/>
      <name val="Aptos Narrow"/>
      <family val="2"/>
      <scheme val="minor"/>
    </font>
    <font>
      <b/>
      <sz val="11"/>
      <color theme="1"/>
      <name val="Aptos Narrow"/>
      <family val="2"/>
      <scheme val="minor"/>
    </font>
    <font>
      <sz val="10"/>
      <color theme="1"/>
      <name val="Arial Unicode MS"/>
    </font>
    <font>
      <sz val="8"/>
      <name val="Aptos Narrow"/>
      <family val="2"/>
      <scheme val="minor"/>
    </font>
    <font>
      <b/>
      <sz val="10"/>
      <color theme="1"/>
      <name val="Arial Unicode MS"/>
    </font>
    <font>
      <b/>
      <i/>
      <sz val="10"/>
      <color theme="1"/>
      <name val="Arial Unicode MS"/>
    </font>
  </fonts>
  <fills count="8">
    <fill>
      <patternFill patternType="none"/>
    </fill>
    <fill>
      <patternFill patternType="gray125"/>
    </fill>
    <fill>
      <patternFill patternType="solid">
        <fgColor theme="5"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0" tint="-4.9989318521683403E-2"/>
        <bgColor indexed="64"/>
      </patternFill>
    </fill>
  </fills>
  <borders count="5">
    <border>
      <left/>
      <right/>
      <top/>
      <bottom/>
      <diagonal/>
    </border>
    <border>
      <left/>
      <right style="thin">
        <color auto="1"/>
      </right>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34">
    <xf numFmtId="0" fontId="0" fillId="0" borderId="0" xfId="0"/>
    <xf numFmtId="0" fontId="1" fillId="0" borderId="0" xfId="0" applyFont="1" applyAlignment="1">
      <alignment horizontal="left" vertical="center" wrapText="1"/>
    </xf>
    <xf numFmtId="0" fontId="0" fillId="0" borderId="0" xfId="0" applyAlignment="1">
      <alignment horizontal="left"/>
    </xf>
    <xf numFmtId="0" fontId="0" fillId="0" borderId="0" xfId="0" applyAlignment="1">
      <alignment horizontal="left" vertical="center" wrapText="1"/>
    </xf>
    <xf numFmtId="0" fontId="0" fillId="0" borderId="0" xfId="0" applyNumberFormat="1" applyAlignment="1">
      <alignment horizontal="left"/>
    </xf>
    <xf numFmtId="0" fontId="0" fillId="2" borderId="3" xfId="0" applyFill="1" applyBorder="1" applyAlignment="1">
      <alignment wrapText="1"/>
    </xf>
    <xf numFmtId="0" fontId="0" fillId="2" borderId="4" xfId="0" applyFill="1" applyBorder="1" applyAlignment="1">
      <alignment wrapText="1"/>
    </xf>
    <xf numFmtId="0" fontId="0" fillId="2" borderId="4" xfId="0" applyFill="1" applyBorder="1" applyAlignment="1">
      <alignment horizontal="left" wrapText="1"/>
    </xf>
    <xf numFmtId="0" fontId="0" fillId="0" borderId="3" xfId="0" applyBorder="1" applyAlignment="1">
      <alignment wrapText="1"/>
    </xf>
    <xf numFmtId="0" fontId="0" fillId="0" borderId="4" xfId="0" applyBorder="1" applyAlignment="1">
      <alignment wrapText="1"/>
    </xf>
    <xf numFmtId="0" fontId="0" fillId="3" borderId="3" xfId="0" applyFill="1" applyBorder="1" applyAlignment="1">
      <alignment wrapText="1"/>
    </xf>
    <xf numFmtId="0" fontId="0" fillId="3" borderId="4" xfId="0" applyFill="1" applyBorder="1" applyAlignment="1">
      <alignment wrapText="1"/>
    </xf>
    <xf numFmtId="0" fontId="0" fillId="4" borderId="3" xfId="0" applyFill="1" applyBorder="1" applyAlignment="1">
      <alignment wrapText="1"/>
    </xf>
    <xf numFmtId="0" fontId="0" fillId="4" borderId="4" xfId="0" applyFill="1" applyBorder="1" applyAlignment="1">
      <alignment wrapText="1"/>
    </xf>
    <xf numFmtId="0" fontId="0" fillId="4" borderId="4" xfId="0" quotePrefix="1" applyFill="1" applyBorder="1" applyAlignment="1">
      <alignment wrapText="1"/>
    </xf>
    <xf numFmtId="0" fontId="0" fillId="5" borderId="3" xfId="0" applyFill="1" applyBorder="1" applyAlignment="1">
      <alignment wrapText="1"/>
    </xf>
    <xf numFmtId="0" fontId="0" fillId="5" borderId="4" xfId="0" applyFill="1" applyBorder="1" applyAlignment="1">
      <alignment wrapText="1"/>
    </xf>
    <xf numFmtId="0" fontId="0" fillId="5" borderId="4" xfId="0" quotePrefix="1" applyFill="1" applyBorder="1" applyAlignment="1">
      <alignment wrapText="1"/>
    </xf>
    <xf numFmtId="169" fontId="0" fillId="5" borderId="4" xfId="0" applyNumberFormat="1" applyFill="1" applyBorder="1" applyAlignment="1">
      <alignment wrapText="1"/>
    </xf>
    <xf numFmtId="169" fontId="0" fillId="2" borderId="4" xfId="0" applyNumberFormat="1" applyFill="1" applyBorder="1" applyAlignment="1">
      <alignment wrapText="1"/>
    </xf>
    <xf numFmtId="169" fontId="0" fillId="3" borderId="4" xfId="0" applyNumberFormat="1" applyFill="1" applyBorder="1" applyAlignment="1">
      <alignment wrapText="1"/>
    </xf>
    <xf numFmtId="169" fontId="0" fillId="6" borderId="4" xfId="0" applyNumberFormat="1" applyFill="1" applyBorder="1" applyAlignment="1">
      <alignment wrapText="1"/>
    </xf>
    <xf numFmtId="169" fontId="0" fillId="0" borderId="4" xfId="0" applyNumberFormat="1" applyFill="1" applyBorder="1" applyAlignment="1">
      <alignment wrapText="1"/>
    </xf>
    <xf numFmtId="169" fontId="0" fillId="0" borderId="4" xfId="0" applyNumberFormat="1" applyBorder="1" applyAlignment="1">
      <alignment wrapText="1"/>
    </xf>
    <xf numFmtId="0" fontId="0" fillId="7" borderId="3" xfId="0" applyFill="1" applyBorder="1" applyAlignment="1">
      <alignment wrapText="1"/>
    </xf>
    <xf numFmtId="0" fontId="0" fillId="7" borderId="4" xfId="0" applyFill="1" applyBorder="1" applyAlignment="1">
      <alignment wrapText="1"/>
    </xf>
    <xf numFmtId="0" fontId="0" fillId="7" borderId="4" xfId="0" quotePrefix="1" applyFill="1" applyBorder="1" applyAlignment="1">
      <alignment wrapText="1"/>
    </xf>
    <xf numFmtId="169" fontId="0" fillId="7" borderId="4" xfId="0" applyNumberFormat="1" applyFill="1" applyBorder="1" applyAlignment="1">
      <alignment wrapText="1"/>
    </xf>
    <xf numFmtId="0" fontId="0" fillId="3" borderId="2" xfId="0" applyFill="1" applyBorder="1" applyAlignment="1">
      <alignment wrapText="1"/>
    </xf>
    <xf numFmtId="0" fontId="2" fillId="3" borderId="2" xfId="0" applyFont="1" applyFill="1" applyBorder="1" applyAlignment="1">
      <alignment wrapText="1"/>
    </xf>
    <xf numFmtId="0" fontId="4" fillId="0" borderId="1" xfId="0" applyFont="1" applyBorder="1" applyAlignment="1">
      <alignment vertical="top" wrapText="1"/>
    </xf>
    <xf numFmtId="0" fontId="4" fillId="0" borderId="2" xfId="0" applyFont="1" applyBorder="1" applyAlignment="1">
      <alignment vertical="top" wrapText="1"/>
    </xf>
    <xf numFmtId="169" fontId="4" fillId="0" borderId="2" xfId="0" applyNumberFormat="1" applyFont="1" applyBorder="1" applyAlignment="1">
      <alignment vertical="top" wrapText="1"/>
    </xf>
    <xf numFmtId="0" fontId="1" fillId="0" borderId="2"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CC917-9673-49A4-8174-F7D089D4B5F9}">
  <dimension ref="A1:W180"/>
  <sheetViews>
    <sheetView tabSelected="1" topLeftCell="K1" zoomScale="70" zoomScaleNormal="70" workbookViewId="0">
      <pane ySplit="1" topLeftCell="A2" activePane="bottomLeft" state="frozen"/>
      <selection pane="bottomLeft" activeCell="P2" sqref="P2"/>
    </sheetView>
  </sheetViews>
  <sheetFormatPr defaultRowHeight="14.4" outlineLevelRow="1"/>
  <cols>
    <col min="1" max="1" width="9.6640625" style="8" bestFit="1" customWidth="1"/>
    <col min="2" max="2" width="9.6640625" style="9" customWidth="1"/>
    <col min="3" max="3" width="20.88671875" style="9" customWidth="1"/>
    <col min="4" max="5" width="8.44140625" style="9" customWidth="1"/>
    <col min="6" max="6" width="15" style="9" customWidth="1"/>
    <col min="7" max="7" width="29.5546875" style="9" customWidth="1"/>
    <col min="8" max="8" width="57" style="9" customWidth="1"/>
    <col min="9" max="9" width="27" style="9" customWidth="1"/>
    <col min="10" max="14" width="29.5546875" style="9" customWidth="1"/>
    <col min="15" max="20" width="16" style="9" customWidth="1"/>
    <col min="21" max="21" width="14.33203125" style="23" bestFit="1" customWidth="1"/>
    <col min="22" max="22" width="34.77734375" style="9" customWidth="1"/>
    <col min="23" max="23" width="60.44140625" style="9" customWidth="1"/>
    <col min="24" max="16384" width="8.88671875" style="9"/>
  </cols>
  <sheetData>
    <row r="1" spans="1:23" s="33" customFormat="1" ht="66">
      <c r="A1" s="30" t="s">
        <v>0</v>
      </c>
      <c r="B1" s="31" t="s">
        <v>22</v>
      </c>
      <c r="C1" s="31" t="s">
        <v>1</v>
      </c>
      <c r="D1" s="31" t="s">
        <v>13</v>
      </c>
      <c r="E1" s="31" t="s">
        <v>66</v>
      </c>
      <c r="F1" s="31" t="s">
        <v>14</v>
      </c>
      <c r="G1" s="31" t="s">
        <v>16</v>
      </c>
      <c r="H1" s="31" t="s">
        <v>2</v>
      </c>
      <c r="I1" s="31" t="s">
        <v>3</v>
      </c>
      <c r="J1" s="31" t="s">
        <v>143</v>
      </c>
      <c r="K1" s="31" t="s">
        <v>144</v>
      </c>
      <c r="L1" s="31" t="s">
        <v>145</v>
      </c>
      <c r="M1" s="31" t="s">
        <v>146</v>
      </c>
      <c r="N1" s="31" t="s">
        <v>147</v>
      </c>
      <c r="O1" s="31" t="s">
        <v>110</v>
      </c>
      <c r="P1" s="31" t="s">
        <v>111</v>
      </c>
      <c r="Q1" s="31" t="s">
        <v>112</v>
      </c>
      <c r="R1" s="31" t="s">
        <v>113</v>
      </c>
      <c r="S1" s="31" t="s">
        <v>114</v>
      </c>
      <c r="T1" s="31" t="s">
        <v>115</v>
      </c>
      <c r="U1" s="32" t="s">
        <v>10</v>
      </c>
      <c r="V1" s="31" t="s">
        <v>148</v>
      </c>
      <c r="W1" s="31" t="s">
        <v>11</v>
      </c>
    </row>
    <row r="2" spans="1:23" s="28" customFormat="1" ht="238.2">
      <c r="A2" s="10" t="s">
        <v>128</v>
      </c>
      <c r="B2" s="11" t="s">
        <v>129</v>
      </c>
      <c r="C2" s="29" t="s">
        <v>9</v>
      </c>
      <c r="D2" s="29" t="s">
        <v>15</v>
      </c>
      <c r="E2" s="29" t="s">
        <v>65</v>
      </c>
      <c r="F2" s="29" t="s">
        <v>142</v>
      </c>
      <c r="G2" s="29" t="s">
        <v>136</v>
      </c>
      <c r="H2" s="29" t="s">
        <v>137</v>
      </c>
      <c r="I2" s="29" t="s">
        <v>131</v>
      </c>
      <c r="J2" s="29" t="s">
        <v>130</v>
      </c>
      <c r="K2" s="29" t="s">
        <v>132</v>
      </c>
      <c r="L2" s="29" t="s">
        <v>133</v>
      </c>
      <c r="M2" s="29" t="s">
        <v>134</v>
      </c>
      <c r="N2" s="29" t="s">
        <v>135</v>
      </c>
      <c r="O2" s="29">
        <v>3</v>
      </c>
      <c r="P2" s="29">
        <v>5</v>
      </c>
      <c r="Q2" s="29">
        <v>5</v>
      </c>
      <c r="R2" s="29">
        <v>5</v>
      </c>
      <c r="S2" s="29">
        <v>5</v>
      </c>
      <c r="T2" s="29">
        <v>1</v>
      </c>
      <c r="U2" s="20">
        <f>(O2 * 25%) + (P2 * 15%) + (Q2 * 20%) + (R2 * 15%) + (S2 * 15%) + (T2 * 10%)</f>
        <v>4.0999999999999996</v>
      </c>
      <c r="V2" s="29" t="str">
        <f>IF(AND(U2&gt;=3.5,O2&gt;=4,Q2&gt;=4,R2&gt;=4,S2&gt;=4),"PASS","FAIL")</f>
        <v>FAIL</v>
      </c>
      <c r="W2" s="29" t="s">
        <v>141</v>
      </c>
    </row>
    <row r="3" spans="1:23" s="25" customFormat="1" ht="259.2">
      <c r="A3" s="24" t="s">
        <v>118</v>
      </c>
      <c r="B3" s="25" t="s">
        <v>119</v>
      </c>
      <c r="C3" s="25" t="s">
        <v>6</v>
      </c>
      <c r="D3" s="25" t="s">
        <v>15</v>
      </c>
      <c r="E3" s="25" t="s">
        <v>57</v>
      </c>
      <c r="F3" s="25" t="s">
        <v>142</v>
      </c>
      <c r="G3" s="25" t="s">
        <v>120</v>
      </c>
      <c r="H3" s="25" t="s">
        <v>121</v>
      </c>
      <c r="I3" s="26" t="s">
        <v>122</v>
      </c>
      <c r="J3" s="26" t="s">
        <v>123</v>
      </c>
      <c r="K3" s="26" t="s">
        <v>123</v>
      </c>
      <c r="L3" s="26" t="s">
        <v>123</v>
      </c>
      <c r="M3" s="26" t="s">
        <v>123</v>
      </c>
      <c r="N3" s="26" t="s">
        <v>123</v>
      </c>
      <c r="O3" s="25">
        <v>1</v>
      </c>
      <c r="P3" s="25">
        <v>5</v>
      </c>
      <c r="Q3" s="25">
        <v>1</v>
      </c>
      <c r="R3" s="25">
        <v>1</v>
      </c>
      <c r="S3" s="25">
        <v>3</v>
      </c>
      <c r="T3" s="25">
        <v>5</v>
      </c>
      <c r="U3" s="27">
        <f>(O3 * 25%) + (P3 * 15%) + (Q3 * 20%) + (R3 * 15%) + (S3 * 15%) + (T3 * 10%)</f>
        <v>2.2999999999999998</v>
      </c>
      <c r="V3" s="25" t="str">
        <f>IF(AND(U3&gt;=3.5,O3&gt;=4,Q3&gt;=4,R3&gt;=4,S3&gt;=4),"PASS","FAIL")</f>
        <v>FAIL</v>
      </c>
      <c r="W3" s="25" t="s">
        <v>138</v>
      </c>
    </row>
    <row r="4" spans="1:23" s="25" customFormat="1" ht="259.2">
      <c r="A4" s="24" t="s">
        <v>118</v>
      </c>
      <c r="B4" s="25" t="s">
        <v>124</v>
      </c>
      <c r="C4" s="25" t="s">
        <v>6</v>
      </c>
      <c r="D4" s="25" t="s">
        <v>15</v>
      </c>
      <c r="E4" s="25" t="s">
        <v>58</v>
      </c>
      <c r="F4" s="25" t="s">
        <v>142</v>
      </c>
      <c r="G4" s="25" t="s">
        <v>120</v>
      </c>
      <c r="H4" s="25" t="s">
        <v>121</v>
      </c>
      <c r="I4" s="26" t="s">
        <v>122</v>
      </c>
      <c r="J4" s="26" t="s">
        <v>125</v>
      </c>
      <c r="K4" s="26" t="s">
        <v>125</v>
      </c>
      <c r="L4" s="26" t="s">
        <v>125</v>
      </c>
      <c r="M4" s="26" t="s">
        <v>125</v>
      </c>
      <c r="N4" s="26" t="s">
        <v>123</v>
      </c>
      <c r="O4" s="25">
        <v>1</v>
      </c>
      <c r="P4" s="25">
        <v>5</v>
      </c>
      <c r="Q4" s="25">
        <v>1</v>
      </c>
      <c r="R4" s="25">
        <v>1</v>
      </c>
      <c r="S4" s="25">
        <v>3</v>
      </c>
      <c r="T4" s="25">
        <v>5</v>
      </c>
      <c r="U4" s="27">
        <f>(O4 * 25%) + (P4 * 15%) + (Q4 * 20%) + (R4 * 15%) + (S4 * 15%) + (T4 * 10%)</f>
        <v>2.2999999999999998</v>
      </c>
      <c r="V4" s="25" t="str">
        <f>IF(AND(U4&gt;=3.5,O4&gt;=4,Q4&gt;=4,R4&gt;=4,S4&gt;=4),"PASS","FAIL")</f>
        <v>FAIL</v>
      </c>
      <c r="W4" s="25" t="s">
        <v>139</v>
      </c>
    </row>
    <row r="5" spans="1:23" s="25" customFormat="1" ht="259.2">
      <c r="A5" s="24" t="s">
        <v>118</v>
      </c>
      <c r="B5" s="25" t="s">
        <v>126</v>
      </c>
      <c r="C5" s="25" t="s">
        <v>6</v>
      </c>
      <c r="D5" s="25" t="s">
        <v>15</v>
      </c>
      <c r="E5" s="25" t="s">
        <v>65</v>
      </c>
      <c r="F5" s="25" t="s">
        <v>142</v>
      </c>
      <c r="G5" s="25" t="s">
        <v>120</v>
      </c>
      <c r="H5" s="25" t="s">
        <v>121</v>
      </c>
      <c r="I5" s="26" t="s">
        <v>122</v>
      </c>
      <c r="J5" s="26" t="s">
        <v>127</v>
      </c>
      <c r="K5" s="26" t="s">
        <v>127</v>
      </c>
      <c r="L5" s="26" t="s">
        <v>127</v>
      </c>
      <c r="M5" s="26" t="s">
        <v>127</v>
      </c>
      <c r="N5" s="26" t="s">
        <v>127</v>
      </c>
      <c r="O5" s="25">
        <v>1</v>
      </c>
      <c r="P5" s="25">
        <v>5</v>
      </c>
      <c r="Q5" s="25">
        <v>1</v>
      </c>
      <c r="R5" s="25">
        <v>1</v>
      </c>
      <c r="S5" s="25">
        <v>3</v>
      </c>
      <c r="T5" s="25">
        <v>5</v>
      </c>
      <c r="U5" s="27">
        <f>(O5 * 25%) + (P5 * 15%) + (Q5 * 20%) + (R5 * 15%) + (S5 * 15%) + (T5 * 10%)</f>
        <v>2.2999999999999998</v>
      </c>
      <c r="V5" s="25" t="str">
        <f>IF(AND(U5&gt;=3.5,O5&gt;=4,Q5&gt;=4,R5&gt;=4,S5&gt;=4),"PASS","FAIL")</f>
        <v>FAIL</v>
      </c>
      <c r="W5" s="25" t="s">
        <v>140</v>
      </c>
    </row>
    <row r="6" spans="1:23" s="16" customFormat="1" ht="230.4">
      <c r="A6" s="15" t="s">
        <v>102</v>
      </c>
      <c r="B6" s="16" t="s">
        <v>107</v>
      </c>
      <c r="C6" s="16" t="s">
        <v>8</v>
      </c>
      <c r="D6" s="16" t="s">
        <v>15</v>
      </c>
      <c r="E6" s="16" t="s">
        <v>57</v>
      </c>
      <c r="F6" s="16" t="s">
        <v>59</v>
      </c>
      <c r="G6" s="16" t="s">
        <v>104</v>
      </c>
      <c r="H6" s="16" t="s">
        <v>105</v>
      </c>
      <c r="I6" s="17" t="s">
        <v>106</v>
      </c>
      <c r="J6" s="17" t="s">
        <v>19</v>
      </c>
      <c r="K6" s="17" t="s">
        <v>19</v>
      </c>
      <c r="L6" s="17" t="s">
        <v>19</v>
      </c>
      <c r="M6" s="17" t="s">
        <v>19</v>
      </c>
      <c r="N6" s="17" t="s">
        <v>19</v>
      </c>
      <c r="O6" s="16">
        <v>4</v>
      </c>
      <c r="P6" s="16">
        <v>5</v>
      </c>
      <c r="Q6" s="16">
        <v>5</v>
      </c>
      <c r="R6" s="16">
        <v>3</v>
      </c>
      <c r="S6" s="16">
        <v>3</v>
      </c>
      <c r="T6" s="16">
        <v>5</v>
      </c>
      <c r="U6" s="18">
        <f>(O6 * 25%) + (P6 * 15%) + (Q6 * 20%) + (R6 * 15%) + (S6 * 15%) + (T6 * 10%)</f>
        <v>4.1500000000000004</v>
      </c>
      <c r="V6" s="16" t="str">
        <f>IF(AND(U6&gt;=3.5,O6&gt;=4,Q6&gt;=4,R6&gt;=4,S6&gt;=4),"PASS","FAIL")</f>
        <v>FAIL</v>
      </c>
      <c r="W6" s="16" t="s">
        <v>116</v>
      </c>
    </row>
    <row r="7" spans="1:23" s="16" customFormat="1" ht="230.4">
      <c r="A7" s="15" t="s">
        <v>102</v>
      </c>
      <c r="B7" s="16" t="s">
        <v>108</v>
      </c>
      <c r="C7" s="16" t="s">
        <v>8</v>
      </c>
      <c r="D7" s="16" t="s">
        <v>15</v>
      </c>
      <c r="E7" s="16" t="s">
        <v>58</v>
      </c>
      <c r="F7" s="16" t="s">
        <v>59</v>
      </c>
      <c r="G7" s="16" t="s">
        <v>104</v>
      </c>
      <c r="H7" s="16" t="s">
        <v>105</v>
      </c>
      <c r="I7" s="17" t="s">
        <v>106</v>
      </c>
      <c r="J7" s="17" t="s">
        <v>19</v>
      </c>
      <c r="K7" s="17" t="s">
        <v>19</v>
      </c>
      <c r="L7" s="17" t="s">
        <v>19</v>
      </c>
      <c r="M7" s="17" t="s">
        <v>19</v>
      </c>
      <c r="N7" s="17" t="s">
        <v>19</v>
      </c>
      <c r="O7" s="16">
        <v>4</v>
      </c>
      <c r="P7" s="16">
        <v>5</v>
      </c>
      <c r="Q7" s="16">
        <v>5</v>
      </c>
      <c r="R7" s="16">
        <v>3</v>
      </c>
      <c r="S7" s="16">
        <v>3</v>
      </c>
      <c r="T7" s="16">
        <v>5</v>
      </c>
      <c r="U7" s="18">
        <f>(O7 * 25%) + (P7 * 15%) + (Q7 * 20%) + (R7 * 15%) + (S7 * 15%) + (T7 * 10%)</f>
        <v>4.1500000000000004</v>
      </c>
      <c r="V7" s="16" t="str">
        <f>IF(AND(U7&gt;=3.5,O7&gt;=4,Q7&gt;=4,R7&gt;=4,S7&gt;=4),"PASS","FAIL")</f>
        <v>FAIL</v>
      </c>
      <c r="W7" s="16" t="s">
        <v>116</v>
      </c>
    </row>
    <row r="8" spans="1:23" s="16" customFormat="1" ht="230.4">
      <c r="A8" s="15" t="s">
        <v>102</v>
      </c>
      <c r="B8" s="16" t="s">
        <v>103</v>
      </c>
      <c r="C8" s="16" t="s">
        <v>8</v>
      </c>
      <c r="D8" s="16" t="s">
        <v>15</v>
      </c>
      <c r="E8" s="16" t="s">
        <v>65</v>
      </c>
      <c r="F8" s="16" t="s">
        <v>59</v>
      </c>
      <c r="G8" s="16" t="s">
        <v>104</v>
      </c>
      <c r="H8" s="16" t="s">
        <v>105</v>
      </c>
      <c r="I8" s="17" t="s">
        <v>106</v>
      </c>
      <c r="J8" s="17" t="s">
        <v>109</v>
      </c>
      <c r="K8" s="17" t="s">
        <v>109</v>
      </c>
      <c r="L8" s="17" t="s">
        <v>109</v>
      </c>
      <c r="M8" s="17" t="s">
        <v>109</v>
      </c>
      <c r="N8" s="17" t="s">
        <v>109</v>
      </c>
      <c r="O8" s="16">
        <v>4</v>
      </c>
      <c r="P8" s="16">
        <v>5</v>
      </c>
      <c r="Q8" s="16">
        <v>5</v>
      </c>
      <c r="R8" s="16">
        <v>3</v>
      </c>
      <c r="S8" s="16">
        <v>3</v>
      </c>
      <c r="T8" s="16">
        <v>5</v>
      </c>
      <c r="U8" s="18">
        <f>(O8 * 25%) + (P8 * 15%) + (Q8 * 20%) + (R8 * 15%) + (S8 * 15%) + (T8 * 10%)</f>
        <v>4.1500000000000004</v>
      </c>
      <c r="V8" s="16" t="str">
        <f>IF(AND(U8&gt;=3.5,O8&gt;=4,Q8&gt;=4,R8&gt;=4,S8&gt;=4),"PASS","FAIL")</f>
        <v>FAIL</v>
      </c>
      <c r="W8" s="16" t="s">
        <v>117</v>
      </c>
    </row>
    <row r="9" spans="1:23" s="6" customFormat="1" ht="172.8" outlineLevel="1">
      <c r="A9" s="5" t="s">
        <v>12</v>
      </c>
      <c r="B9" s="6" t="s">
        <v>23</v>
      </c>
      <c r="C9" s="6" t="s">
        <v>4</v>
      </c>
      <c r="D9" s="6" t="s">
        <v>15</v>
      </c>
      <c r="E9" s="6" t="s">
        <v>57</v>
      </c>
      <c r="F9" s="6" t="s">
        <v>59</v>
      </c>
      <c r="G9" s="6" t="s">
        <v>17</v>
      </c>
      <c r="H9" s="6" t="s">
        <v>20</v>
      </c>
      <c r="I9" s="6" t="s">
        <v>18</v>
      </c>
      <c r="J9" s="7" t="s">
        <v>61</v>
      </c>
      <c r="K9" s="7" t="s">
        <v>62</v>
      </c>
      <c r="L9" s="7" t="s">
        <v>63</v>
      </c>
      <c r="M9" s="7" t="s">
        <v>64</v>
      </c>
      <c r="N9" s="7" t="s">
        <v>62</v>
      </c>
      <c r="O9" s="6">
        <v>5</v>
      </c>
      <c r="P9" s="6">
        <v>5</v>
      </c>
      <c r="Q9" s="6">
        <v>5</v>
      </c>
      <c r="R9" s="6">
        <v>5</v>
      </c>
      <c r="S9" s="6">
        <v>5</v>
      </c>
      <c r="T9" s="6">
        <v>5</v>
      </c>
      <c r="U9" s="19">
        <f>(O9 * 25%) + (P9 * 15%) + (Q9 * 20%) + (R9 * 15%) + (S9 * 15%) + (T9 * 10%)</f>
        <v>5</v>
      </c>
      <c r="V9" s="6" t="s">
        <v>21</v>
      </c>
      <c r="W9" s="6" t="s">
        <v>69</v>
      </c>
    </row>
    <row r="10" spans="1:23" s="6" customFormat="1" ht="172.8" outlineLevel="1">
      <c r="A10" s="5" t="s">
        <v>12</v>
      </c>
      <c r="B10" s="6" t="s">
        <v>24</v>
      </c>
      <c r="C10" s="6" t="s">
        <v>4</v>
      </c>
      <c r="D10" s="6" t="s">
        <v>15</v>
      </c>
      <c r="E10" s="6" t="s">
        <v>58</v>
      </c>
      <c r="F10" s="6" t="s">
        <v>59</v>
      </c>
      <c r="G10" s="6" t="s">
        <v>17</v>
      </c>
      <c r="H10" s="6" t="s">
        <v>20</v>
      </c>
      <c r="I10" s="6" t="s">
        <v>18</v>
      </c>
      <c r="J10" s="7" t="s">
        <v>60</v>
      </c>
      <c r="K10" s="7" t="s">
        <v>60</v>
      </c>
      <c r="L10" s="7" t="s">
        <v>60</v>
      </c>
      <c r="M10" s="7" t="s">
        <v>60</v>
      </c>
      <c r="N10" s="7" t="s">
        <v>60</v>
      </c>
      <c r="O10" s="6">
        <v>5</v>
      </c>
      <c r="P10" s="6">
        <v>5</v>
      </c>
      <c r="Q10" s="6">
        <v>5</v>
      </c>
      <c r="R10" s="6">
        <v>5</v>
      </c>
      <c r="S10" s="6">
        <v>5</v>
      </c>
      <c r="T10" s="6">
        <v>5</v>
      </c>
      <c r="U10" s="19">
        <f>(O10 * 25%) + (P10 * 15%) + (Q10 * 20%) + (R10 * 15%) + (S10 * 15%) + (T10 * 10%)</f>
        <v>5</v>
      </c>
      <c r="V10" s="6" t="s">
        <v>21</v>
      </c>
      <c r="W10" s="6" t="s">
        <v>70</v>
      </c>
    </row>
    <row r="11" spans="1:23" s="6" customFormat="1" ht="172.8" outlineLevel="1">
      <c r="A11" s="5" t="s">
        <v>12</v>
      </c>
      <c r="B11" s="6" t="s">
        <v>25</v>
      </c>
      <c r="C11" s="6" t="s">
        <v>4</v>
      </c>
      <c r="D11" s="6" t="s">
        <v>15</v>
      </c>
      <c r="E11" s="6" t="s">
        <v>65</v>
      </c>
      <c r="F11" s="6" t="s">
        <v>59</v>
      </c>
      <c r="G11" s="6" t="s">
        <v>17</v>
      </c>
      <c r="H11" s="6" t="s">
        <v>20</v>
      </c>
      <c r="I11" s="6" t="s">
        <v>18</v>
      </c>
      <c r="J11" s="7" t="s">
        <v>67</v>
      </c>
      <c r="K11" s="7" t="s">
        <v>68</v>
      </c>
      <c r="L11" s="7" t="s">
        <v>68</v>
      </c>
      <c r="M11" s="7" t="s">
        <v>68</v>
      </c>
      <c r="N11" s="7" t="s">
        <v>68</v>
      </c>
      <c r="O11" s="6">
        <v>5</v>
      </c>
      <c r="P11" s="6">
        <v>5</v>
      </c>
      <c r="Q11" s="6">
        <v>5</v>
      </c>
      <c r="R11" s="6">
        <v>5</v>
      </c>
      <c r="S11" s="6">
        <v>5</v>
      </c>
      <c r="T11" s="6">
        <v>5</v>
      </c>
      <c r="U11" s="19">
        <f>(O11 * 25%) + (P11 * 15%) + (Q11 * 20%) + (R11 * 15%) + (S11 * 15%) + (T11 * 10%)</f>
        <v>5</v>
      </c>
      <c r="V11" s="6" t="s">
        <v>21</v>
      </c>
      <c r="W11" s="6" t="s">
        <v>71</v>
      </c>
    </row>
    <row r="12" spans="1:23" s="11" customFormat="1" ht="187.2" outlineLevel="1" collapsed="1">
      <c r="A12" s="10" t="s">
        <v>90</v>
      </c>
      <c r="B12" s="11" t="s">
        <v>76</v>
      </c>
      <c r="C12" s="11" t="s">
        <v>74</v>
      </c>
      <c r="D12" s="11" t="s">
        <v>15</v>
      </c>
      <c r="E12" s="11" t="s">
        <v>57</v>
      </c>
      <c r="F12" s="11" t="s">
        <v>59</v>
      </c>
      <c r="G12" s="11" t="s">
        <v>75</v>
      </c>
      <c r="H12" s="11" t="s">
        <v>72</v>
      </c>
      <c r="I12" s="11" t="s">
        <v>73</v>
      </c>
      <c r="J12" s="11" t="s">
        <v>77</v>
      </c>
      <c r="K12" s="11" t="s">
        <v>78</v>
      </c>
      <c r="L12" s="11" t="s">
        <v>79</v>
      </c>
      <c r="M12" s="11" t="s">
        <v>80</v>
      </c>
      <c r="N12" s="11" t="s">
        <v>81</v>
      </c>
      <c r="O12" s="11">
        <v>5</v>
      </c>
      <c r="P12" s="11">
        <v>5</v>
      </c>
      <c r="Q12" s="11">
        <v>5</v>
      </c>
      <c r="R12" s="11">
        <v>5</v>
      </c>
      <c r="S12" s="11">
        <v>5</v>
      </c>
      <c r="T12" s="11">
        <v>5</v>
      </c>
      <c r="U12" s="20">
        <f>(O12 * 25%) + (P12 * 15%) + (Q12 * 20%) + (R12 * 15%) + (S12 * 15%) + (T12 * 10%)</f>
        <v>5</v>
      </c>
      <c r="V12" s="11" t="s">
        <v>21</v>
      </c>
      <c r="W12" s="11" t="s">
        <v>89</v>
      </c>
    </row>
    <row r="13" spans="1:23" s="11" customFormat="1" ht="187.2" outlineLevel="1">
      <c r="A13" s="10" t="s">
        <v>90</v>
      </c>
      <c r="B13" s="11" t="s">
        <v>82</v>
      </c>
      <c r="C13" s="11" t="s">
        <v>74</v>
      </c>
      <c r="D13" s="11" t="s">
        <v>15</v>
      </c>
      <c r="E13" s="11" t="s">
        <v>58</v>
      </c>
      <c r="F13" s="11" t="s">
        <v>59</v>
      </c>
      <c r="G13" s="11" t="s">
        <v>75</v>
      </c>
      <c r="H13" s="11" t="s">
        <v>72</v>
      </c>
      <c r="I13" s="11" t="s">
        <v>73</v>
      </c>
      <c r="J13" s="11" t="s">
        <v>83</v>
      </c>
      <c r="K13" s="11" t="s">
        <v>83</v>
      </c>
      <c r="L13" s="11" t="s">
        <v>84</v>
      </c>
      <c r="M13" s="11" t="s">
        <v>83</v>
      </c>
      <c r="N13" s="11" t="s">
        <v>83</v>
      </c>
      <c r="O13" s="11">
        <v>5</v>
      </c>
      <c r="P13" s="11">
        <v>5</v>
      </c>
      <c r="Q13" s="11">
        <v>5</v>
      </c>
      <c r="R13" s="11">
        <v>5</v>
      </c>
      <c r="S13" s="11">
        <v>5</v>
      </c>
      <c r="T13" s="11">
        <v>5</v>
      </c>
      <c r="U13" s="20">
        <f>(O13 * 25%) + (P13 * 15%) + (Q13 * 20%) + (R13 * 15%) + (S13 * 15%) + (T13 * 10%)</f>
        <v>5</v>
      </c>
      <c r="V13" s="11" t="s">
        <v>21</v>
      </c>
      <c r="W13" s="11" t="s">
        <v>91</v>
      </c>
    </row>
    <row r="14" spans="1:23" s="11" customFormat="1" ht="187.2" outlineLevel="1">
      <c r="A14" s="10" t="s">
        <v>90</v>
      </c>
      <c r="B14" s="11" t="s">
        <v>85</v>
      </c>
      <c r="C14" s="11" t="s">
        <v>74</v>
      </c>
      <c r="D14" s="11" t="s">
        <v>15</v>
      </c>
      <c r="E14" s="11" t="s">
        <v>65</v>
      </c>
      <c r="F14" s="11" t="s">
        <v>59</v>
      </c>
      <c r="G14" s="11" t="s">
        <v>75</v>
      </c>
      <c r="H14" s="11" t="s">
        <v>72</v>
      </c>
      <c r="I14" s="11" t="s">
        <v>73</v>
      </c>
      <c r="J14" s="11" t="s">
        <v>86</v>
      </c>
      <c r="K14" s="11" t="s">
        <v>87</v>
      </c>
      <c r="L14" s="11" t="s">
        <v>88</v>
      </c>
      <c r="M14" s="11" t="s">
        <v>88</v>
      </c>
      <c r="N14" s="11" t="s">
        <v>88</v>
      </c>
      <c r="O14" s="11">
        <v>5</v>
      </c>
      <c r="P14" s="11">
        <v>5</v>
      </c>
      <c r="Q14" s="11">
        <v>5</v>
      </c>
      <c r="R14" s="11">
        <v>5</v>
      </c>
      <c r="S14" s="11">
        <v>5</v>
      </c>
      <c r="T14" s="11">
        <v>5</v>
      </c>
      <c r="U14" s="20">
        <f>(O14 * 25%) + (P14 * 15%) + (Q14 * 20%) + (R14 * 15%) + (S14 * 15%) + (T14 * 10%)</f>
        <v>5</v>
      </c>
      <c r="V14" s="11" t="s">
        <v>21</v>
      </c>
      <c r="W14" s="11" t="s">
        <v>92</v>
      </c>
    </row>
    <row r="15" spans="1:23" s="13" customFormat="1" ht="172.8">
      <c r="A15" s="12" t="s">
        <v>93</v>
      </c>
      <c r="B15" s="13" t="s">
        <v>94</v>
      </c>
      <c r="C15" s="13" t="s">
        <v>7</v>
      </c>
      <c r="D15" s="13" t="s">
        <v>15</v>
      </c>
      <c r="E15" s="13" t="s">
        <v>57</v>
      </c>
      <c r="F15" s="13" t="s">
        <v>59</v>
      </c>
      <c r="G15" s="13" t="s">
        <v>100</v>
      </c>
      <c r="H15" s="13" t="s">
        <v>95</v>
      </c>
      <c r="I15" s="14" t="s">
        <v>98</v>
      </c>
      <c r="J15" s="14" t="s">
        <v>98</v>
      </c>
      <c r="K15" s="14" t="s">
        <v>98</v>
      </c>
      <c r="L15" s="14" t="s">
        <v>98</v>
      </c>
      <c r="M15" s="14" t="s">
        <v>98</v>
      </c>
      <c r="N15" s="14" t="s">
        <v>98</v>
      </c>
      <c r="O15" s="13">
        <v>5</v>
      </c>
      <c r="P15" s="13">
        <v>5</v>
      </c>
      <c r="Q15" s="13">
        <v>5</v>
      </c>
      <c r="R15" s="13">
        <v>5</v>
      </c>
      <c r="S15" s="13">
        <v>5</v>
      </c>
      <c r="T15" s="13">
        <v>5</v>
      </c>
      <c r="U15" s="21">
        <f t="shared" ref="U15:U75" si="0">(O15 * 25%) + (P15 * 15%) + (Q15 * 20%) + (R15 * 15%) + (S15 * 15%) + (T15 * 10%)</f>
        <v>5</v>
      </c>
      <c r="V15" s="13" t="s">
        <v>21</v>
      </c>
      <c r="W15" s="13" t="s">
        <v>101</v>
      </c>
    </row>
    <row r="16" spans="1:23" s="13" customFormat="1" ht="172.8">
      <c r="A16" s="12" t="s">
        <v>93</v>
      </c>
      <c r="B16" s="13" t="s">
        <v>96</v>
      </c>
      <c r="C16" s="13" t="s">
        <v>7</v>
      </c>
      <c r="D16" s="13" t="s">
        <v>15</v>
      </c>
      <c r="E16" s="13" t="s">
        <v>58</v>
      </c>
      <c r="F16" s="13" t="s">
        <v>59</v>
      </c>
      <c r="G16" s="13" t="s">
        <v>100</v>
      </c>
      <c r="H16" s="13" t="s">
        <v>95</v>
      </c>
      <c r="I16" s="14" t="s">
        <v>98</v>
      </c>
      <c r="J16" s="13" t="s">
        <v>99</v>
      </c>
      <c r="K16" s="13" t="s">
        <v>99</v>
      </c>
      <c r="L16" s="13" t="s">
        <v>99</v>
      </c>
      <c r="M16" s="13" t="s">
        <v>99</v>
      </c>
      <c r="N16" s="13" t="s">
        <v>99</v>
      </c>
      <c r="O16" s="13">
        <v>5</v>
      </c>
      <c r="P16" s="13">
        <v>5</v>
      </c>
      <c r="Q16" s="13">
        <v>5</v>
      </c>
      <c r="R16" s="13">
        <v>5</v>
      </c>
      <c r="S16" s="13">
        <v>5</v>
      </c>
      <c r="T16" s="13">
        <v>5</v>
      </c>
      <c r="U16" s="21">
        <f t="shared" si="0"/>
        <v>5</v>
      </c>
      <c r="V16" s="13" t="s">
        <v>21</v>
      </c>
      <c r="W16" s="13" t="s">
        <v>101</v>
      </c>
    </row>
    <row r="17" spans="1:23" s="13" customFormat="1" ht="172.8">
      <c r="A17" s="12" t="s">
        <v>93</v>
      </c>
      <c r="B17" s="13" t="s">
        <v>97</v>
      </c>
      <c r="C17" s="13" t="s">
        <v>7</v>
      </c>
      <c r="D17" s="13" t="s">
        <v>15</v>
      </c>
      <c r="E17" s="13" t="s">
        <v>65</v>
      </c>
      <c r="F17" s="13" t="s">
        <v>59</v>
      </c>
      <c r="G17" s="13" t="s">
        <v>100</v>
      </c>
      <c r="H17" s="13" t="s">
        <v>95</v>
      </c>
      <c r="I17" s="14" t="s">
        <v>98</v>
      </c>
      <c r="J17" s="14" t="s">
        <v>98</v>
      </c>
      <c r="K17" s="14" t="s">
        <v>98</v>
      </c>
      <c r="L17" s="14" t="s">
        <v>98</v>
      </c>
      <c r="M17" s="14" t="s">
        <v>98</v>
      </c>
      <c r="N17" s="14" t="s">
        <v>98</v>
      </c>
      <c r="O17" s="13">
        <v>5</v>
      </c>
      <c r="P17" s="13">
        <v>5</v>
      </c>
      <c r="Q17" s="13">
        <v>5</v>
      </c>
      <c r="R17" s="13">
        <v>5</v>
      </c>
      <c r="S17" s="13">
        <v>5</v>
      </c>
      <c r="T17" s="13">
        <v>5</v>
      </c>
      <c r="U17" s="21">
        <f t="shared" si="0"/>
        <v>5</v>
      </c>
      <c r="V17" s="13" t="s">
        <v>21</v>
      </c>
      <c r="W17" s="13" t="s">
        <v>101</v>
      </c>
    </row>
    <row r="18" spans="1:23">
      <c r="U18" s="22">
        <f t="shared" si="0"/>
        <v>0</v>
      </c>
    </row>
    <row r="19" spans="1:23">
      <c r="U19" s="22">
        <f t="shared" si="0"/>
        <v>0</v>
      </c>
    </row>
    <row r="20" spans="1:23">
      <c r="U20" s="22">
        <f t="shared" si="0"/>
        <v>0</v>
      </c>
    </row>
    <row r="21" spans="1:23">
      <c r="U21" s="22">
        <f t="shared" si="0"/>
        <v>0</v>
      </c>
    </row>
    <row r="22" spans="1:23">
      <c r="U22" s="22">
        <f t="shared" si="0"/>
        <v>0</v>
      </c>
    </row>
    <row r="23" spans="1:23">
      <c r="U23" s="22">
        <f t="shared" si="0"/>
        <v>0</v>
      </c>
    </row>
    <row r="24" spans="1:23">
      <c r="U24" s="22">
        <f t="shared" si="0"/>
        <v>0</v>
      </c>
    </row>
    <row r="25" spans="1:23">
      <c r="U25" s="22">
        <f t="shared" si="0"/>
        <v>0</v>
      </c>
    </row>
    <row r="26" spans="1:23">
      <c r="U26" s="22">
        <f t="shared" si="0"/>
        <v>0</v>
      </c>
    </row>
    <row r="27" spans="1:23">
      <c r="U27" s="22">
        <f t="shared" si="0"/>
        <v>0</v>
      </c>
    </row>
    <row r="28" spans="1:23">
      <c r="U28" s="22">
        <f t="shared" si="0"/>
        <v>0</v>
      </c>
    </row>
    <row r="29" spans="1:23">
      <c r="U29" s="22">
        <f t="shared" si="0"/>
        <v>0</v>
      </c>
    </row>
    <row r="30" spans="1:23">
      <c r="U30" s="22">
        <f t="shared" si="0"/>
        <v>0</v>
      </c>
    </row>
    <row r="31" spans="1:23">
      <c r="U31" s="22">
        <f t="shared" si="0"/>
        <v>0</v>
      </c>
    </row>
    <row r="32" spans="1:23">
      <c r="U32" s="22">
        <f t="shared" si="0"/>
        <v>0</v>
      </c>
    </row>
    <row r="33" spans="21:21">
      <c r="U33" s="22">
        <f t="shared" si="0"/>
        <v>0</v>
      </c>
    </row>
    <row r="34" spans="21:21">
      <c r="U34" s="22">
        <f t="shared" si="0"/>
        <v>0</v>
      </c>
    </row>
    <row r="35" spans="21:21">
      <c r="U35" s="22">
        <f t="shared" si="0"/>
        <v>0</v>
      </c>
    </row>
    <row r="36" spans="21:21">
      <c r="U36" s="22">
        <f t="shared" si="0"/>
        <v>0</v>
      </c>
    </row>
    <row r="37" spans="21:21">
      <c r="U37" s="22">
        <f t="shared" si="0"/>
        <v>0</v>
      </c>
    </row>
    <row r="38" spans="21:21">
      <c r="U38" s="22">
        <f t="shared" si="0"/>
        <v>0</v>
      </c>
    </row>
    <row r="39" spans="21:21">
      <c r="U39" s="22">
        <f t="shared" si="0"/>
        <v>0</v>
      </c>
    </row>
    <row r="40" spans="21:21">
      <c r="U40" s="22">
        <f t="shared" si="0"/>
        <v>0</v>
      </c>
    </row>
    <row r="41" spans="21:21">
      <c r="U41" s="22">
        <f t="shared" si="0"/>
        <v>0</v>
      </c>
    </row>
    <row r="42" spans="21:21">
      <c r="U42" s="22">
        <f t="shared" si="0"/>
        <v>0</v>
      </c>
    </row>
    <row r="43" spans="21:21">
      <c r="U43" s="22">
        <f t="shared" si="0"/>
        <v>0</v>
      </c>
    </row>
    <row r="44" spans="21:21">
      <c r="U44" s="22">
        <f t="shared" si="0"/>
        <v>0</v>
      </c>
    </row>
    <row r="45" spans="21:21">
      <c r="U45" s="22">
        <f t="shared" si="0"/>
        <v>0</v>
      </c>
    </row>
    <row r="46" spans="21:21">
      <c r="U46" s="22">
        <f t="shared" si="0"/>
        <v>0</v>
      </c>
    </row>
    <row r="47" spans="21:21">
      <c r="U47" s="22">
        <f t="shared" si="0"/>
        <v>0</v>
      </c>
    </row>
    <row r="48" spans="21:21">
      <c r="U48" s="22">
        <f t="shared" si="0"/>
        <v>0</v>
      </c>
    </row>
    <row r="49" spans="21:21">
      <c r="U49" s="22">
        <f t="shared" si="0"/>
        <v>0</v>
      </c>
    </row>
    <row r="50" spans="21:21">
      <c r="U50" s="22">
        <f t="shared" si="0"/>
        <v>0</v>
      </c>
    </row>
    <row r="51" spans="21:21">
      <c r="U51" s="22">
        <f t="shared" si="0"/>
        <v>0</v>
      </c>
    </row>
    <row r="52" spans="21:21">
      <c r="U52" s="22">
        <f t="shared" si="0"/>
        <v>0</v>
      </c>
    </row>
    <row r="53" spans="21:21">
      <c r="U53" s="22">
        <f t="shared" si="0"/>
        <v>0</v>
      </c>
    </row>
    <row r="54" spans="21:21">
      <c r="U54" s="22">
        <f t="shared" si="0"/>
        <v>0</v>
      </c>
    </row>
    <row r="55" spans="21:21">
      <c r="U55" s="22">
        <f t="shared" si="0"/>
        <v>0</v>
      </c>
    </row>
    <row r="56" spans="21:21">
      <c r="U56" s="22">
        <f t="shared" si="0"/>
        <v>0</v>
      </c>
    </row>
    <row r="57" spans="21:21">
      <c r="U57" s="22">
        <f t="shared" si="0"/>
        <v>0</v>
      </c>
    </row>
    <row r="58" spans="21:21">
      <c r="U58" s="22">
        <f t="shared" si="0"/>
        <v>0</v>
      </c>
    </row>
    <row r="59" spans="21:21">
      <c r="U59" s="22">
        <f t="shared" si="0"/>
        <v>0</v>
      </c>
    </row>
    <row r="60" spans="21:21">
      <c r="U60" s="22">
        <f t="shared" si="0"/>
        <v>0</v>
      </c>
    </row>
    <row r="61" spans="21:21">
      <c r="U61" s="22">
        <f t="shared" si="0"/>
        <v>0</v>
      </c>
    </row>
    <row r="62" spans="21:21">
      <c r="U62" s="22">
        <f t="shared" si="0"/>
        <v>0</v>
      </c>
    </row>
    <row r="63" spans="21:21">
      <c r="U63" s="22">
        <f t="shared" si="0"/>
        <v>0</v>
      </c>
    </row>
    <row r="64" spans="21:21">
      <c r="U64" s="22">
        <f t="shared" si="0"/>
        <v>0</v>
      </c>
    </row>
    <row r="65" spans="21:21">
      <c r="U65" s="22">
        <f t="shared" si="0"/>
        <v>0</v>
      </c>
    </row>
    <row r="66" spans="21:21">
      <c r="U66" s="22">
        <f t="shared" si="0"/>
        <v>0</v>
      </c>
    </row>
    <row r="67" spans="21:21">
      <c r="U67" s="22">
        <f t="shared" si="0"/>
        <v>0</v>
      </c>
    </row>
    <row r="68" spans="21:21">
      <c r="U68" s="22">
        <f t="shared" si="0"/>
        <v>0</v>
      </c>
    </row>
    <row r="69" spans="21:21">
      <c r="U69" s="22">
        <f t="shared" si="0"/>
        <v>0</v>
      </c>
    </row>
    <row r="70" spans="21:21">
      <c r="U70" s="22">
        <f t="shared" si="0"/>
        <v>0</v>
      </c>
    </row>
    <row r="71" spans="21:21">
      <c r="U71" s="22">
        <f t="shared" si="0"/>
        <v>0</v>
      </c>
    </row>
    <row r="72" spans="21:21">
      <c r="U72" s="22">
        <f t="shared" si="0"/>
        <v>0</v>
      </c>
    </row>
    <row r="73" spans="21:21">
      <c r="U73" s="22">
        <f t="shared" si="0"/>
        <v>0</v>
      </c>
    </row>
    <row r="74" spans="21:21">
      <c r="U74" s="22">
        <f t="shared" si="0"/>
        <v>0</v>
      </c>
    </row>
    <row r="75" spans="21:21">
      <c r="U75" s="22">
        <f t="shared" si="0"/>
        <v>0</v>
      </c>
    </row>
    <row r="76" spans="21:21">
      <c r="U76" s="22">
        <f t="shared" ref="U76:U139" si="1">(O76 * 25%) + (P76 * 15%) + (Q76 * 20%) + (R76 * 15%) + (S76 * 15%) + (T76 * 10%)</f>
        <v>0</v>
      </c>
    </row>
    <row r="77" spans="21:21">
      <c r="U77" s="22">
        <f t="shared" si="1"/>
        <v>0</v>
      </c>
    </row>
    <row r="78" spans="21:21">
      <c r="U78" s="22">
        <f t="shared" si="1"/>
        <v>0</v>
      </c>
    </row>
    <row r="79" spans="21:21">
      <c r="U79" s="22">
        <f t="shared" si="1"/>
        <v>0</v>
      </c>
    </row>
    <row r="80" spans="21:21">
      <c r="U80" s="22">
        <f t="shared" si="1"/>
        <v>0</v>
      </c>
    </row>
    <row r="81" spans="21:21">
      <c r="U81" s="22">
        <f t="shared" si="1"/>
        <v>0</v>
      </c>
    </row>
    <row r="82" spans="21:21">
      <c r="U82" s="22">
        <f t="shared" si="1"/>
        <v>0</v>
      </c>
    </row>
    <row r="83" spans="21:21">
      <c r="U83" s="22">
        <f t="shared" si="1"/>
        <v>0</v>
      </c>
    </row>
    <row r="84" spans="21:21">
      <c r="U84" s="22">
        <f t="shared" si="1"/>
        <v>0</v>
      </c>
    </row>
    <row r="85" spans="21:21">
      <c r="U85" s="22">
        <f t="shared" si="1"/>
        <v>0</v>
      </c>
    </row>
    <row r="86" spans="21:21">
      <c r="U86" s="22">
        <f t="shared" si="1"/>
        <v>0</v>
      </c>
    </row>
    <row r="87" spans="21:21">
      <c r="U87" s="22">
        <f t="shared" si="1"/>
        <v>0</v>
      </c>
    </row>
    <row r="88" spans="21:21">
      <c r="U88" s="22">
        <f t="shared" si="1"/>
        <v>0</v>
      </c>
    </row>
    <row r="89" spans="21:21">
      <c r="U89" s="22">
        <f t="shared" si="1"/>
        <v>0</v>
      </c>
    </row>
    <row r="90" spans="21:21">
      <c r="U90" s="22">
        <f t="shared" si="1"/>
        <v>0</v>
      </c>
    </row>
    <row r="91" spans="21:21">
      <c r="U91" s="22">
        <f t="shared" si="1"/>
        <v>0</v>
      </c>
    </row>
    <row r="92" spans="21:21">
      <c r="U92" s="22">
        <f t="shared" si="1"/>
        <v>0</v>
      </c>
    </row>
    <row r="93" spans="21:21">
      <c r="U93" s="22">
        <f t="shared" si="1"/>
        <v>0</v>
      </c>
    </row>
    <row r="94" spans="21:21">
      <c r="U94" s="22">
        <f t="shared" si="1"/>
        <v>0</v>
      </c>
    </row>
    <row r="95" spans="21:21">
      <c r="U95" s="22">
        <f t="shared" si="1"/>
        <v>0</v>
      </c>
    </row>
    <row r="96" spans="21:21">
      <c r="U96" s="22">
        <f t="shared" si="1"/>
        <v>0</v>
      </c>
    </row>
    <row r="97" spans="21:21">
      <c r="U97" s="22">
        <f t="shared" si="1"/>
        <v>0</v>
      </c>
    </row>
    <row r="98" spans="21:21">
      <c r="U98" s="22">
        <f t="shared" si="1"/>
        <v>0</v>
      </c>
    </row>
    <row r="99" spans="21:21">
      <c r="U99" s="22">
        <f t="shared" si="1"/>
        <v>0</v>
      </c>
    </row>
    <row r="100" spans="21:21">
      <c r="U100" s="22">
        <f t="shared" si="1"/>
        <v>0</v>
      </c>
    </row>
    <row r="101" spans="21:21">
      <c r="U101" s="22">
        <f t="shared" si="1"/>
        <v>0</v>
      </c>
    </row>
    <row r="102" spans="21:21">
      <c r="U102" s="22">
        <f t="shared" si="1"/>
        <v>0</v>
      </c>
    </row>
    <row r="103" spans="21:21">
      <c r="U103" s="22">
        <f t="shared" si="1"/>
        <v>0</v>
      </c>
    </row>
    <row r="104" spans="21:21">
      <c r="U104" s="22">
        <f t="shared" si="1"/>
        <v>0</v>
      </c>
    </row>
    <row r="105" spans="21:21">
      <c r="U105" s="22">
        <f t="shared" si="1"/>
        <v>0</v>
      </c>
    </row>
    <row r="106" spans="21:21">
      <c r="U106" s="22">
        <f t="shared" si="1"/>
        <v>0</v>
      </c>
    </row>
    <row r="107" spans="21:21">
      <c r="U107" s="22">
        <f t="shared" si="1"/>
        <v>0</v>
      </c>
    </row>
    <row r="108" spans="21:21">
      <c r="U108" s="22">
        <f t="shared" si="1"/>
        <v>0</v>
      </c>
    </row>
    <row r="109" spans="21:21">
      <c r="U109" s="22">
        <f t="shared" si="1"/>
        <v>0</v>
      </c>
    </row>
    <row r="110" spans="21:21">
      <c r="U110" s="22">
        <f t="shared" si="1"/>
        <v>0</v>
      </c>
    </row>
    <row r="111" spans="21:21">
      <c r="U111" s="22">
        <f t="shared" si="1"/>
        <v>0</v>
      </c>
    </row>
    <row r="112" spans="21:21">
      <c r="U112" s="22">
        <f t="shared" si="1"/>
        <v>0</v>
      </c>
    </row>
    <row r="113" spans="21:21">
      <c r="U113" s="22">
        <f t="shared" si="1"/>
        <v>0</v>
      </c>
    </row>
    <row r="114" spans="21:21">
      <c r="U114" s="22">
        <f t="shared" si="1"/>
        <v>0</v>
      </c>
    </row>
    <row r="115" spans="21:21">
      <c r="U115" s="22">
        <f t="shared" si="1"/>
        <v>0</v>
      </c>
    </row>
    <row r="116" spans="21:21">
      <c r="U116" s="22">
        <f t="shared" si="1"/>
        <v>0</v>
      </c>
    </row>
    <row r="117" spans="21:21">
      <c r="U117" s="22">
        <f t="shared" si="1"/>
        <v>0</v>
      </c>
    </row>
    <row r="118" spans="21:21">
      <c r="U118" s="22">
        <f t="shared" si="1"/>
        <v>0</v>
      </c>
    </row>
    <row r="119" spans="21:21">
      <c r="U119" s="22">
        <f t="shared" si="1"/>
        <v>0</v>
      </c>
    </row>
    <row r="120" spans="21:21">
      <c r="U120" s="22">
        <f t="shared" si="1"/>
        <v>0</v>
      </c>
    </row>
    <row r="121" spans="21:21">
      <c r="U121" s="22">
        <f t="shared" si="1"/>
        <v>0</v>
      </c>
    </row>
    <row r="122" spans="21:21">
      <c r="U122" s="22">
        <f t="shared" si="1"/>
        <v>0</v>
      </c>
    </row>
    <row r="123" spans="21:21">
      <c r="U123" s="22">
        <f t="shared" si="1"/>
        <v>0</v>
      </c>
    </row>
    <row r="124" spans="21:21">
      <c r="U124" s="22">
        <f t="shared" si="1"/>
        <v>0</v>
      </c>
    </row>
    <row r="125" spans="21:21">
      <c r="U125" s="22">
        <f t="shared" si="1"/>
        <v>0</v>
      </c>
    </row>
    <row r="126" spans="21:21">
      <c r="U126" s="22">
        <f t="shared" si="1"/>
        <v>0</v>
      </c>
    </row>
    <row r="127" spans="21:21">
      <c r="U127" s="22">
        <f t="shared" si="1"/>
        <v>0</v>
      </c>
    </row>
    <row r="128" spans="21:21">
      <c r="U128" s="22">
        <f t="shared" si="1"/>
        <v>0</v>
      </c>
    </row>
    <row r="129" spans="21:21">
      <c r="U129" s="22">
        <f t="shared" si="1"/>
        <v>0</v>
      </c>
    </row>
    <row r="130" spans="21:21">
      <c r="U130" s="22">
        <f t="shared" si="1"/>
        <v>0</v>
      </c>
    </row>
    <row r="131" spans="21:21">
      <c r="U131" s="22">
        <f t="shared" si="1"/>
        <v>0</v>
      </c>
    </row>
    <row r="132" spans="21:21">
      <c r="U132" s="22">
        <f t="shared" si="1"/>
        <v>0</v>
      </c>
    </row>
    <row r="133" spans="21:21">
      <c r="U133" s="22">
        <f t="shared" si="1"/>
        <v>0</v>
      </c>
    </row>
    <row r="134" spans="21:21">
      <c r="U134" s="22">
        <f t="shared" si="1"/>
        <v>0</v>
      </c>
    </row>
    <row r="135" spans="21:21">
      <c r="U135" s="22">
        <f t="shared" si="1"/>
        <v>0</v>
      </c>
    </row>
    <row r="136" spans="21:21">
      <c r="U136" s="22">
        <f t="shared" si="1"/>
        <v>0</v>
      </c>
    </row>
    <row r="137" spans="21:21">
      <c r="U137" s="22">
        <f t="shared" si="1"/>
        <v>0</v>
      </c>
    </row>
    <row r="138" spans="21:21">
      <c r="U138" s="22">
        <f t="shared" si="1"/>
        <v>0</v>
      </c>
    </row>
    <row r="139" spans="21:21">
      <c r="U139" s="22">
        <f t="shared" si="1"/>
        <v>0</v>
      </c>
    </row>
    <row r="140" spans="21:21">
      <c r="U140" s="22">
        <f t="shared" ref="U140:U164" si="2">(O140 * 25%) + (P140 * 15%) + (Q140 * 20%) + (R140 * 15%) + (S140 * 15%) + (T140 * 10%)</f>
        <v>0</v>
      </c>
    </row>
    <row r="141" spans="21:21">
      <c r="U141" s="22">
        <f t="shared" si="2"/>
        <v>0</v>
      </c>
    </row>
    <row r="142" spans="21:21">
      <c r="U142" s="22">
        <f t="shared" si="2"/>
        <v>0</v>
      </c>
    </row>
    <row r="143" spans="21:21">
      <c r="U143" s="22">
        <f t="shared" si="2"/>
        <v>0</v>
      </c>
    </row>
    <row r="144" spans="21:21">
      <c r="U144" s="22">
        <f t="shared" si="2"/>
        <v>0</v>
      </c>
    </row>
    <row r="145" spans="21:21">
      <c r="U145" s="22">
        <f t="shared" si="2"/>
        <v>0</v>
      </c>
    </row>
    <row r="146" spans="21:21">
      <c r="U146" s="22">
        <f t="shared" si="2"/>
        <v>0</v>
      </c>
    </row>
    <row r="147" spans="21:21">
      <c r="U147" s="22">
        <f t="shared" si="2"/>
        <v>0</v>
      </c>
    </row>
    <row r="148" spans="21:21">
      <c r="U148" s="22">
        <f t="shared" si="2"/>
        <v>0</v>
      </c>
    </row>
    <row r="149" spans="21:21">
      <c r="U149" s="22">
        <f t="shared" si="2"/>
        <v>0</v>
      </c>
    </row>
    <row r="150" spans="21:21">
      <c r="U150" s="22">
        <f t="shared" si="2"/>
        <v>0</v>
      </c>
    </row>
    <row r="151" spans="21:21">
      <c r="U151" s="22">
        <f t="shared" si="2"/>
        <v>0</v>
      </c>
    </row>
    <row r="152" spans="21:21">
      <c r="U152" s="22">
        <f t="shared" si="2"/>
        <v>0</v>
      </c>
    </row>
    <row r="153" spans="21:21">
      <c r="U153" s="22">
        <f t="shared" si="2"/>
        <v>0</v>
      </c>
    </row>
    <row r="154" spans="21:21">
      <c r="U154" s="22">
        <f t="shared" si="2"/>
        <v>0</v>
      </c>
    </row>
    <row r="155" spans="21:21">
      <c r="U155" s="22">
        <f t="shared" si="2"/>
        <v>0</v>
      </c>
    </row>
    <row r="156" spans="21:21">
      <c r="U156" s="22">
        <f t="shared" si="2"/>
        <v>0</v>
      </c>
    </row>
    <row r="157" spans="21:21">
      <c r="U157" s="22">
        <f t="shared" si="2"/>
        <v>0</v>
      </c>
    </row>
    <row r="158" spans="21:21">
      <c r="U158" s="22">
        <f t="shared" si="2"/>
        <v>0</v>
      </c>
    </row>
    <row r="159" spans="21:21">
      <c r="U159" s="22">
        <f t="shared" si="2"/>
        <v>0</v>
      </c>
    </row>
    <row r="160" spans="21:21">
      <c r="U160" s="22">
        <f t="shared" si="2"/>
        <v>0</v>
      </c>
    </row>
    <row r="161" spans="21:21">
      <c r="U161" s="22">
        <f t="shared" si="2"/>
        <v>0</v>
      </c>
    </row>
    <row r="162" spans="21:21">
      <c r="U162" s="22">
        <f t="shared" si="2"/>
        <v>0</v>
      </c>
    </row>
    <row r="163" spans="21:21">
      <c r="U163" s="22">
        <f t="shared" si="2"/>
        <v>0</v>
      </c>
    </row>
    <row r="164" spans="21:21">
      <c r="U164" s="22">
        <f t="shared" si="2"/>
        <v>0</v>
      </c>
    </row>
    <row r="165" spans="21:21">
      <c r="U165" s="22"/>
    </row>
    <row r="166" spans="21:21">
      <c r="U166" s="22"/>
    </row>
    <row r="167" spans="21:21">
      <c r="U167" s="22"/>
    </row>
    <row r="168" spans="21:21">
      <c r="U168" s="22"/>
    </row>
    <row r="169" spans="21:21">
      <c r="U169" s="22"/>
    </row>
    <row r="170" spans="21:21">
      <c r="U170" s="22"/>
    </row>
    <row r="171" spans="21:21">
      <c r="U171" s="22"/>
    </row>
    <row r="172" spans="21:21">
      <c r="U172" s="22"/>
    </row>
    <row r="173" spans="21:21">
      <c r="U173" s="22"/>
    </row>
    <row r="174" spans="21:21">
      <c r="U174" s="22"/>
    </row>
    <row r="175" spans="21:21">
      <c r="U175" s="22"/>
    </row>
    <row r="176" spans="21:21">
      <c r="U176" s="22"/>
    </row>
    <row r="177" spans="21:21">
      <c r="U177" s="22"/>
    </row>
    <row r="178" spans="21:21">
      <c r="U178" s="22"/>
    </row>
    <row r="179" spans="21:21">
      <c r="U179" s="22"/>
    </row>
    <row r="180" spans="21:21">
      <c r="U180" s="22"/>
    </row>
  </sheetData>
  <phoneticPr fontId="3"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208DF-090D-4F26-BC59-479982B355B5}">
  <dimension ref="A1:G6"/>
  <sheetViews>
    <sheetView workbookViewId="0">
      <selection sqref="A1:G6"/>
    </sheetView>
  </sheetViews>
  <sheetFormatPr defaultColWidth="24" defaultRowHeight="14.4"/>
  <cols>
    <col min="1" max="1" width="11.21875" style="4" customWidth="1"/>
    <col min="2" max="16384" width="24" style="2"/>
  </cols>
  <sheetData>
    <row r="1" spans="1:7">
      <c r="A1" s="1" t="s">
        <v>26</v>
      </c>
      <c r="B1" s="1" t="s">
        <v>4</v>
      </c>
      <c r="C1" s="1" t="s">
        <v>5</v>
      </c>
      <c r="D1" s="1" t="s">
        <v>6</v>
      </c>
      <c r="E1" s="1" t="s">
        <v>7</v>
      </c>
      <c r="F1" s="1" t="s">
        <v>8</v>
      </c>
      <c r="G1" s="1" t="s">
        <v>9</v>
      </c>
    </row>
    <row r="2" spans="1:7" ht="43.2">
      <c r="A2" s="1">
        <v>5</v>
      </c>
      <c r="B2" s="3" t="s">
        <v>27</v>
      </c>
      <c r="C2" s="3" t="s">
        <v>30</v>
      </c>
      <c r="D2" s="3" t="s">
        <v>31</v>
      </c>
      <c r="E2" s="3" t="s">
        <v>32</v>
      </c>
      <c r="F2" s="3" t="s">
        <v>33</v>
      </c>
      <c r="G2" s="3" t="s">
        <v>34</v>
      </c>
    </row>
    <row r="3" spans="1:7" ht="57.6">
      <c r="A3" s="1">
        <v>4</v>
      </c>
      <c r="B3" s="3" t="s">
        <v>28</v>
      </c>
      <c r="C3" s="3" t="s">
        <v>35</v>
      </c>
      <c r="D3" s="3" t="s">
        <v>36</v>
      </c>
      <c r="E3" s="3" t="s">
        <v>37</v>
      </c>
      <c r="F3" s="3" t="s">
        <v>38</v>
      </c>
      <c r="G3" s="3" t="s">
        <v>39</v>
      </c>
    </row>
    <row r="4" spans="1:7" ht="57.6">
      <c r="A4" s="1">
        <v>3</v>
      </c>
      <c r="B4" s="3" t="s">
        <v>29</v>
      </c>
      <c r="C4" s="3" t="s">
        <v>40</v>
      </c>
      <c r="D4" s="3" t="s">
        <v>41</v>
      </c>
      <c r="E4" s="3" t="s">
        <v>42</v>
      </c>
      <c r="F4" s="3" t="s">
        <v>43</v>
      </c>
      <c r="G4" s="3" t="s">
        <v>44</v>
      </c>
    </row>
    <row r="5" spans="1:7" ht="57.6">
      <c r="A5" s="1">
        <v>2</v>
      </c>
      <c r="B5" s="3" t="s">
        <v>45</v>
      </c>
      <c r="C5" s="3" t="s">
        <v>46</v>
      </c>
      <c r="D5" s="3" t="s">
        <v>47</v>
      </c>
      <c r="E5" s="3" t="s">
        <v>48</v>
      </c>
      <c r="F5" s="3" t="s">
        <v>49</v>
      </c>
      <c r="G5" s="3" t="s">
        <v>50</v>
      </c>
    </row>
    <row r="6" spans="1:7" ht="57.6">
      <c r="A6" s="1">
        <v>1</v>
      </c>
      <c r="B6" s="3" t="s">
        <v>51</v>
      </c>
      <c r="C6" s="3" t="s">
        <v>52</v>
      </c>
      <c r="D6" s="3" t="s">
        <v>53</v>
      </c>
      <c r="E6" s="3" t="s">
        <v>54</v>
      </c>
      <c r="F6" s="3" t="s">
        <v>55</v>
      </c>
      <c r="G6" s="3" t="s">
        <v>56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Cases + Result</vt:lpstr>
      <vt:lpstr>Scoring Rubric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Melyrose Conciso</dc:creator>
  <cp:lastModifiedBy>Melyrose Conciso</cp:lastModifiedBy>
  <dcterms:created xsi:type="dcterms:W3CDTF">2026-10-04T10:31:59Z</dcterms:created>
  <dcterms:modified xsi:type="dcterms:W3CDTF">2026-10-06T14:56:17Z</dcterms:modified>
</cp:coreProperties>
</file>